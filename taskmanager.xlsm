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yanaf\Documents\"/>
    </mc:Choice>
  </mc:AlternateContent>
  <xr:revisionPtr revIDLastSave="0" documentId="8_{794D7CE5-D14E-4733-AF84-490CA3DC6A7A}" xr6:coauthVersionLast="47" xr6:coauthVersionMax="47" xr10:uidLastSave="{00000000-0000-0000-0000-000000000000}"/>
  <bookViews>
    <workbookView xWindow="-110" yWindow="-110" windowWidth="19420" windowHeight="11500" xr2:uid="{3BEA7F6A-1181-2B41-B6EA-D361D3FFAFCD}"/>
  </bookViews>
  <sheets>
    <sheet name="Sheet2" sheetId="2" r:id="rId1"/>
    <sheet name="ActivityLog" sheetId="7" r:id="rId2"/>
    <sheet name="Schedule" sheetId="5" r:id="rId3"/>
  </sheets>
  <definedNames>
    <definedName name="_xleta.DAYS" hidden="1" xlm="1">#NAME?</definedName>
    <definedName name="_xlnm.Print_Area" localSheetId="2">Schedule!$B$1:$H$3</definedName>
    <definedName name="_xlnm.Print_Titles" localSheetId="2">Schedule!$1:$1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5" i="5" l="1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7" i="2"/>
  <c r="N6" i="2"/>
  <c r="G7" i="2"/>
  <c r="F7" i="2"/>
  <c r="F6" i="2"/>
  <c r="G6" i="2" s="1"/>
</calcChain>
</file>

<file path=xl/sharedStrings.xml><?xml version="1.0" encoding="utf-8"?>
<sst xmlns="http://schemas.openxmlformats.org/spreadsheetml/2006/main" count="60" uniqueCount="44">
  <si>
    <t>week</t>
  </si>
  <si>
    <t>Target Study Hour</t>
  </si>
  <si>
    <t>progress%</t>
  </si>
  <si>
    <t>Status</t>
  </si>
  <si>
    <t>week1</t>
  </si>
  <si>
    <t xml:space="preserve">Actual Study hour </t>
  </si>
  <si>
    <t>week2</t>
  </si>
  <si>
    <t>Task Name</t>
  </si>
  <si>
    <t>Estimated hours</t>
  </si>
  <si>
    <t>Done</t>
  </si>
  <si>
    <t>In Progress</t>
  </si>
  <si>
    <t>Priority</t>
  </si>
  <si>
    <t>Monday</t>
  </si>
  <si>
    <t>Tuesday</t>
  </si>
  <si>
    <t>Wednesday</t>
  </si>
  <si>
    <t>Thursday</t>
  </si>
  <si>
    <t>Friday</t>
  </si>
  <si>
    <t>Saturday</t>
  </si>
  <si>
    <t>Sunday</t>
  </si>
  <si>
    <t>Due Date</t>
  </si>
  <si>
    <t>Remaining Days</t>
  </si>
  <si>
    <t>Medium</t>
  </si>
  <si>
    <t>sdasd</t>
  </si>
  <si>
    <t>math 115</t>
  </si>
  <si>
    <t>This is the task tracker. It is linked to the schedule sheet</t>
  </si>
  <si>
    <t>Rest</t>
  </si>
  <si>
    <t>Date</t>
  </si>
  <si>
    <t>Activity</t>
  </si>
  <si>
    <t>Hours spent</t>
  </si>
  <si>
    <t>week 4</t>
  </si>
  <si>
    <t>math 115 (3h)</t>
  </si>
  <si>
    <t>Sleep</t>
  </si>
  <si>
    <t>Meal</t>
  </si>
  <si>
    <t>Sleep (7h)</t>
  </si>
  <si>
    <t>Meal (3h)</t>
  </si>
  <si>
    <t>The schedule is limited to a week</t>
  </si>
  <si>
    <t>Activities on 2025-11-19</t>
  </si>
  <si>
    <t>Sleep Ñ 7 hrs</t>
  </si>
  <si>
    <t>Day</t>
  </si>
  <si>
    <t>Study Hours</t>
  </si>
  <si>
    <t>Free Hours</t>
  </si>
  <si>
    <t>Activity Hours</t>
  </si>
  <si>
    <t>Needs Adjustment</t>
  </si>
  <si>
    <t>The Monday of This week is: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</si>
</sst>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5"/>
      <color rgb="FF000000"/>
      <name val="Aptos Narrow"/>
      <family val="2"/>
    </font>
  </fonts>
  <fills count="7">
    <fill>
      <patternFill patternType="none"/>
    </fill>
    <fill>
      <patternFill patternType="gray125"/>
    </fill>
    <fill>
      <patternFill patternType="solid">
        <fgColor rgb="FFFFE696"/>
        <bgColor indexed="64"/>
      </patternFill>
    </fill>
    <fill>
      <patternFill patternType="solid">
        <fgColor rgb="FFC8DC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4">
    <xf numFmtId="0" fontId="0" fillId="0" borderId="0" xfId="0"/>
    <xf numFmtId="9" fontId="0" fillId="0" borderId="0" xfId="1" applyFont="1"/>
    <xf numFmtId="14" fontId="0" fillId="0" borderId="0" xfId="0" applyNumberFormat="1"/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4" borderId="0" xfId="0" applyFill="1"/>
    <xf numFmtId="49" fontId="0" fillId="5" borderId="0" xfId="0" applyNumberFormat="1" applyFill="1" applyAlignment="1">
      <alignment horizontal="center" vertical="center"/>
    </xf>
    <xf numFmtId="164" fontId="0" fillId="5" borderId="0" xfId="0" applyNumberForma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2" borderId="0" xfId="0" applyFill="1"/>
    <xf numFmtId="0" fontId="0" fillId="3" borderId="0" xfId="0" applyFill="1"/>
    <xf numFmtId="0" fontId="0" fillId="4" borderId="1" xfId="0" applyFill="1" applyBorder="1"/>
    <xf numFmtId="0" fontId="0" fillId="6" borderId="0" xfId="0" applyFill="1"/>
    <xf numFmtId="0" fontId="0" fillId="0" borderId="0" xfId="0" applyFill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622300</xdr:colOff>
          <xdr:row>1</xdr:row>
          <xdr:rowOff>127000</xdr:rowOff>
        </xdr:from>
        <xdr:to>
          <xdr:col>4</xdr:col>
          <xdr:colOff>495300</xdr:colOff>
          <xdr:row>3</xdr:row>
          <xdr:rowOff>101600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1500" b="0" i="0" u="none" strike="noStrike" baseline="0">
                  <a:solidFill>
                    <a:srgbClr val="000000"/>
                  </a:solidFill>
                  <a:latin typeface="Aptos Narrow"/>
                </a:rPr>
                <a:t>study target</a:t>
              </a:r>
            </a:p>
            <a:p>
              <a:pPr algn="ctr" rtl="0">
                <a:defRPr sz="1000"/>
              </a:pPr>
              <a:endParaRPr lang="en-CA" sz="15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473790</xdr:colOff>
      <xdr:row>0</xdr:row>
      <xdr:rowOff>221181</xdr:rowOff>
    </xdr:from>
    <xdr:to>
      <xdr:col>13</xdr:col>
      <xdr:colOff>753188</xdr:colOff>
      <xdr:row>2</xdr:row>
      <xdr:rowOff>92439</xdr:rowOff>
    </xdr:to>
    <xdr:sp macro="[0]!AddTas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36681088-DEAF-2C87-F86C-762230E9497E}"/>
            </a:ext>
          </a:extLst>
        </xdr:cNvPr>
        <xdr:cNvSpPr/>
      </xdr:nvSpPr>
      <xdr:spPr>
        <a:xfrm>
          <a:off x="10214960" y="221181"/>
          <a:ext cx="1090037" cy="317109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>
              <a:solidFill>
                <a:schemeClr val="tx1"/>
              </a:solidFill>
              <a:latin typeface="Agency FB" panose="020B0503020202020204" pitchFamily="34" charset="0"/>
            </a:rPr>
            <a:t>Add Task</a:t>
          </a:r>
        </a:p>
      </xdr:txBody>
    </xdr:sp>
    <xdr:clientData/>
  </xdr:twoCellAnchor>
  <xdr:twoCellAnchor>
    <xdr:from>
      <xdr:col>11</xdr:col>
      <xdr:colOff>709308</xdr:colOff>
      <xdr:row>18</xdr:row>
      <xdr:rowOff>94574</xdr:rowOff>
    </xdr:from>
    <xdr:to>
      <xdr:col>13</xdr:col>
      <xdr:colOff>108084</xdr:colOff>
      <xdr:row>21</xdr:row>
      <xdr:rowOff>33776</xdr:rowOff>
    </xdr:to>
    <xdr:sp macro="[0]!GotoSchedule" textlink="">
      <xdr:nvSpPr>
        <xdr:cNvPr id="4" name="Arrow: Right 2">
          <a:extLst>
            <a:ext uri="{FF2B5EF4-FFF2-40B4-BE49-F238E27FC236}">
              <a16:creationId xmlns:a16="http://schemas.microsoft.com/office/drawing/2014/main" id="{5CAC02B9-E923-5842-D16A-90321511BC53}"/>
            </a:ext>
            <a:ext uri="{147F2762-F138-4A5C-976F-8EAC2B608ADB}">
              <a16:predDERef xmlns:a16="http://schemas.microsoft.com/office/drawing/2014/main" pred="{36681088-DEAF-2C87-F86C-762230E9497E}"/>
            </a:ext>
          </a:extLst>
        </xdr:cNvPr>
        <xdr:cNvSpPr/>
      </xdr:nvSpPr>
      <xdr:spPr>
        <a:xfrm>
          <a:off x="9639840" y="3782978"/>
          <a:ext cx="1020053" cy="547181"/>
        </a:xfrm>
        <a:prstGeom prst="rightArrow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US" sz="1100">
              <a:solidFill>
                <a:schemeClr val="tx1"/>
              </a:solidFill>
              <a:latin typeface="+mn-lt"/>
              <a:ea typeface="+mn-lt"/>
              <a:cs typeface="+mn-lt"/>
            </a:rPr>
            <a:t>Schedule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412750</xdr:colOff>
      <xdr:row>1</xdr:row>
      <xdr:rowOff>76200</xdr:rowOff>
    </xdr:from>
    <xdr:to>
      <xdr:col>5</xdr:col>
      <xdr:colOff>139700</xdr:colOff>
      <xdr:row>3</xdr:row>
      <xdr:rowOff>44450</xdr:rowOff>
    </xdr:to>
    <xdr:sp macro="[0]!DailyActivityForm" textlink="">
      <xdr:nvSpPr>
        <xdr:cNvPr id="2" name="Rectangle 1">
          <a:extLst>
            <a:ext uri="{FF2B5EF4-FFF2-40B4-BE49-F238E27FC236}">
              <a16:creationId xmlns:a16="http://schemas.microsoft.com/office/drawing/2014/main" id="{D2665B56-7D8B-BDDA-60AC-96F249B4ABE0}"/>
            </a:ext>
          </a:extLst>
        </xdr:cNvPr>
        <xdr:cNvSpPr/>
      </xdr:nvSpPr>
      <xdr:spPr>
        <a:xfrm>
          <a:off x="3600450" y="279400"/>
          <a:ext cx="1047750" cy="374650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tx1"/>
              </a:solidFill>
            </a:rPr>
            <a:t>Log Activity</a:t>
          </a:r>
        </a:p>
      </xdr:txBody>
    </xdr:sp>
    <xdr:clientData/>
  </xdr:twoCellAnchor>
  <xdr:twoCellAnchor>
    <xdr:from>
      <xdr:col>3</xdr:col>
      <xdr:colOff>514350</xdr:colOff>
      <xdr:row>3</xdr:row>
      <xdr:rowOff>196850</xdr:rowOff>
    </xdr:from>
    <xdr:to>
      <xdr:col>5</xdr:col>
      <xdr:colOff>213603</xdr:colOff>
      <xdr:row>6</xdr:row>
      <xdr:rowOff>134431</xdr:rowOff>
    </xdr:to>
    <xdr:sp macro="[0]!GotoSchedule" textlink="">
      <xdr:nvSpPr>
        <xdr:cNvPr id="3" name="Arrow: Right 2">
          <a:extLst>
            <a:ext uri="{FF2B5EF4-FFF2-40B4-BE49-F238E27FC236}">
              <a16:creationId xmlns:a16="http://schemas.microsoft.com/office/drawing/2014/main" id="{74FDFD17-72F5-48FD-9111-AFE6202EFBD0}"/>
            </a:ext>
          </a:extLst>
        </xdr:cNvPr>
        <xdr:cNvSpPr/>
      </xdr:nvSpPr>
      <xdr:spPr>
        <a:xfrm>
          <a:off x="3702050" y="806450"/>
          <a:ext cx="1020053" cy="547181"/>
        </a:xfrm>
        <a:prstGeom prst="rightArrow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>
              <a:solidFill>
                <a:schemeClr val="tx1"/>
              </a:solidFill>
            </a:rPr>
            <a:t>Schedule</a:t>
          </a:r>
        </a:p>
      </xdr:txBody>
    </xdr:sp>
    <xdr:clientData/>
  </xdr:twoCellAnchor>
  <xdr:twoCellAnchor>
    <xdr:from>
      <xdr:col>9</xdr:col>
      <xdr:colOff>88900</xdr:colOff>
      <xdr:row>0</xdr:row>
      <xdr:rowOff>25400</xdr:rowOff>
    </xdr:from>
    <xdr:to>
      <xdr:col>10</xdr:col>
      <xdr:colOff>476250</xdr:colOff>
      <xdr:row>1</xdr:row>
      <xdr:rowOff>196850</xdr:rowOff>
    </xdr:to>
    <xdr:sp macro="[0]!DailyPlanner" textlink="">
      <xdr:nvSpPr>
        <xdr:cNvPr id="5" name="Rectangle 4">
          <a:extLst>
            <a:ext uri="{FF2B5EF4-FFF2-40B4-BE49-F238E27FC236}">
              <a16:creationId xmlns:a16="http://schemas.microsoft.com/office/drawing/2014/main" id="{0464D220-6D8B-494D-AFB0-23DA4ECF5297}"/>
            </a:ext>
          </a:extLst>
        </xdr:cNvPr>
        <xdr:cNvSpPr/>
      </xdr:nvSpPr>
      <xdr:spPr>
        <a:xfrm>
          <a:off x="7239000" y="25400"/>
          <a:ext cx="1047750" cy="374650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tx1"/>
              </a:solidFill>
            </a:rPr>
            <a:t>Daily</a:t>
          </a:r>
          <a:r>
            <a:rPr lang="en-CA" sz="1100" b="1" baseline="0">
              <a:solidFill>
                <a:schemeClr val="tx1"/>
              </a:solidFill>
            </a:rPr>
            <a:t> Planner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290476</xdr:colOff>
      <xdr:row>1</xdr:row>
      <xdr:rowOff>19050</xdr:rowOff>
    </xdr:from>
    <xdr:to>
      <xdr:col>0</xdr:col>
      <xdr:colOff>1496976</xdr:colOff>
      <xdr:row>2</xdr:row>
      <xdr:rowOff>400050</xdr:rowOff>
    </xdr:to>
    <xdr:sp macro="[0]!Schedule" textlink="">
      <xdr:nvSpPr>
        <xdr:cNvPr id="2" name="Rectangle 1">
          <a:extLst>
            <a:ext uri="{FF2B5EF4-FFF2-40B4-BE49-F238E27FC236}">
              <a16:creationId xmlns:a16="http://schemas.microsoft.com/office/drawing/2014/main" id="{53D8E19B-CB7B-0DBE-5F7A-11B7CF359E00}"/>
            </a:ext>
          </a:extLst>
        </xdr:cNvPr>
        <xdr:cNvSpPr/>
      </xdr:nvSpPr>
      <xdr:spPr>
        <a:xfrm>
          <a:off x="290476" y="535910"/>
          <a:ext cx="1206500" cy="897861"/>
        </a:xfrm>
        <a:prstGeom prst="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tx1"/>
              </a:solidFill>
            </a:rPr>
            <a:t>Update Schedule</a:t>
          </a:r>
        </a:p>
      </xdr:txBody>
    </xdr:sp>
    <xdr:clientData/>
  </xdr:twoCellAnchor>
  <xdr:twoCellAnchor>
    <xdr:from>
      <xdr:col>0</xdr:col>
      <xdr:colOff>298745</xdr:colOff>
      <xdr:row>0</xdr:row>
      <xdr:rowOff>114595</xdr:rowOff>
    </xdr:from>
    <xdr:to>
      <xdr:col>0</xdr:col>
      <xdr:colOff>806745</xdr:colOff>
      <xdr:row>0</xdr:row>
      <xdr:rowOff>413045</xdr:rowOff>
    </xdr:to>
    <xdr:sp macro="[0]!PrintSchedule" textlink="">
      <xdr:nvSpPr>
        <xdr:cNvPr id="3" name="Rectangle 2">
          <a:extLst>
            <a:ext uri="{FF2B5EF4-FFF2-40B4-BE49-F238E27FC236}">
              <a16:creationId xmlns:a16="http://schemas.microsoft.com/office/drawing/2014/main" id="{82A56FF7-7CE0-CB3B-C1CD-94F80687EB1E}"/>
            </a:ext>
          </a:extLst>
        </xdr:cNvPr>
        <xdr:cNvSpPr/>
      </xdr:nvSpPr>
      <xdr:spPr>
        <a:xfrm>
          <a:off x="298745" y="114595"/>
          <a:ext cx="508000" cy="298450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>
              <a:solidFill>
                <a:schemeClr val="tx1"/>
              </a:solidFill>
            </a:rPr>
            <a:t>Print</a:t>
          </a:r>
          <a:endParaRPr lang="en-CA" sz="1100"/>
        </a:p>
      </xdr:txBody>
    </xdr:sp>
    <xdr:clientData/>
  </xdr:twoCellAnchor>
  <xdr:twoCellAnchor>
    <xdr:from>
      <xdr:col>0</xdr:col>
      <xdr:colOff>324884</xdr:colOff>
      <xdr:row>6</xdr:row>
      <xdr:rowOff>81221</xdr:rowOff>
    </xdr:from>
    <xdr:to>
      <xdr:col>0</xdr:col>
      <xdr:colOff>1414921</xdr:colOff>
      <xdr:row>6</xdr:row>
      <xdr:rowOff>398330</xdr:rowOff>
    </xdr:to>
    <xdr:sp macro="[0]!AddTask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560DD3C7-D16C-45A1-86C0-0BE127A0C8EA}"/>
            </a:ext>
          </a:extLst>
        </xdr:cNvPr>
        <xdr:cNvSpPr/>
      </xdr:nvSpPr>
      <xdr:spPr>
        <a:xfrm>
          <a:off x="324884" y="3182384"/>
          <a:ext cx="1090037" cy="317109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>
              <a:solidFill>
                <a:schemeClr val="tx1"/>
              </a:solidFill>
              <a:latin typeface="Agency FB" panose="020B0503020202020204" pitchFamily="34" charset="0"/>
            </a:rPr>
            <a:t>Add Task</a:t>
          </a:r>
        </a:p>
      </xdr:txBody>
    </xdr:sp>
    <xdr:clientData/>
  </xdr:twoCellAnchor>
  <xdr:twoCellAnchor>
    <xdr:from>
      <xdr:col>0</xdr:col>
      <xdr:colOff>332267</xdr:colOff>
      <xdr:row>7</xdr:row>
      <xdr:rowOff>51686</xdr:rowOff>
    </xdr:from>
    <xdr:to>
      <xdr:col>0</xdr:col>
      <xdr:colOff>1380017</xdr:colOff>
      <xdr:row>7</xdr:row>
      <xdr:rowOff>426336</xdr:rowOff>
    </xdr:to>
    <xdr:sp macro="[0]!DailyActivityForm" textlink="">
      <xdr:nvSpPr>
        <xdr:cNvPr id="5" name="Rectangle 4">
          <a:extLst>
            <a:ext uri="{FF2B5EF4-FFF2-40B4-BE49-F238E27FC236}">
              <a16:creationId xmlns:a16="http://schemas.microsoft.com/office/drawing/2014/main" id="{065A9A33-2DBC-4C03-9DC6-AF636995EBB4}"/>
            </a:ext>
          </a:extLst>
        </xdr:cNvPr>
        <xdr:cNvSpPr/>
      </xdr:nvSpPr>
      <xdr:spPr>
        <a:xfrm>
          <a:off x="332267" y="3669709"/>
          <a:ext cx="1047750" cy="374650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tx1"/>
              </a:solidFill>
            </a:rPr>
            <a:t>Log Activity</a:t>
          </a:r>
        </a:p>
      </xdr:txBody>
    </xdr:sp>
    <xdr:clientData/>
  </xdr:twoCellAnchor>
  <xdr:twoCellAnchor>
    <xdr:from>
      <xdr:col>9</xdr:col>
      <xdr:colOff>81221</xdr:colOff>
      <xdr:row>8</xdr:row>
      <xdr:rowOff>169826</xdr:rowOff>
    </xdr:from>
    <xdr:to>
      <xdr:col>10</xdr:col>
      <xdr:colOff>140290</xdr:colOff>
      <xdr:row>9</xdr:row>
      <xdr:rowOff>413489</xdr:rowOff>
    </xdr:to>
    <xdr:sp macro="[0]!CheckTimeManagement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67D078EB-6F17-D05F-626C-07923B3A5BA3}"/>
            </a:ext>
          </a:extLst>
        </xdr:cNvPr>
        <xdr:cNvSpPr/>
      </xdr:nvSpPr>
      <xdr:spPr>
        <a:xfrm>
          <a:off x="13903547" y="4304710"/>
          <a:ext cx="1594883" cy="760523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tx1"/>
              </a:solidFill>
            </a:rPr>
            <a:t>Generate Time management button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0DD524-0182-3C47-A267-3F37F55B7D69}">
  <sheetPr codeName="Sheet2"/>
  <dimension ref="A1:N189"/>
  <sheetViews>
    <sheetView tabSelected="1" zoomScale="94" workbookViewId="0">
      <selection activeCell="K10" sqref="K10"/>
    </sheetView>
  </sheetViews>
  <sheetFormatPr defaultColWidth="10.6640625" defaultRowHeight="16" x14ac:dyDescent="0.4"/>
  <cols>
    <col min="6" max="6" width="10.83203125" style="1"/>
    <col min="9" max="10" width="10.6640625" style="3"/>
    <col min="11" max="11" width="15.9140625" style="3" customWidth="1"/>
    <col min="12" max="13" width="10.6640625" style="3"/>
    <col min="14" max="14" width="16.58203125" style="3" customWidth="1"/>
  </cols>
  <sheetData>
    <row r="1" spans="1:14" ht="19" customHeight="1" x14ac:dyDescent="0.4">
      <c r="I1"/>
      <c r="N1"/>
    </row>
    <row r="2" spans="1:14" x14ac:dyDescent="0.4">
      <c r="I2" t="s">
        <v>24</v>
      </c>
      <c r="J2"/>
      <c r="K2"/>
      <c r="L2"/>
      <c r="M2"/>
    </row>
    <row r="3" spans="1:14" x14ac:dyDescent="0.4">
      <c r="I3" t="s">
        <v>35</v>
      </c>
      <c r="J3"/>
      <c r="K3"/>
      <c r="L3"/>
      <c r="M3"/>
      <c r="N3"/>
    </row>
    <row r="4" spans="1:14" x14ac:dyDescent="0.4">
      <c r="I4"/>
      <c r="J4"/>
      <c r="K4"/>
    </row>
    <row r="5" spans="1:14" x14ac:dyDescent="0.4">
      <c r="A5" t="s">
        <v>0</v>
      </c>
      <c r="B5" t="s">
        <v>1</v>
      </c>
      <c r="D5" t="s">
        <v>5</v>
      </c>
      <c r="F5" s="1" t="s">
        <v>2</v>
      </c>
      <c r="G5" t="s">
        <v>3</v>
      </c>
      <c r="I5" s="6" t="s">
        <v>7</v>
      </c>
      <c r="J5" s="7" t="s">
        <v>19</v>
      </c>
      <c r="K5" s="8" t="s">
        <v>8</v>
      </c>
      <c r="L5" s="8" t="s">
        <v>3</v>
      </c>
      <c r="M5" s="8" t="s">
        <v>11</v>
      </c>
      <c r="N5" s="8" t="s">
        <v>20</v>
      </c>
    </row>
    <row r="6" spans="1:14" x14ac:dyDescent="0.4">
      <c r="A6" t="s">
        <v>4</v>
      </c>
      <c r="B6">
        <v>60</v>
      </c>
      <c r="D6">
        <v>30</v>
      </c>
      <c r="F6" s="1">
        <f>D6 / B6</f>
        <v>0.5</v>
      </c>
      <c r="G6" t="str">
        <f xml:space="preserve"> IF($F6 &gt;=1, "🟢 Achieved", IF($F6&gt;=0.8,"🟡 Almost","🔴 Behind"))</f>
        <v>🔴 Behind</v>
      </c>
      <c r="I6" s="3" t="s">
        <v>22</v>
      </c>
      <c r="J6" s="4">
        <v>47338</v>
      </c>
      <c r="K6" s="3">
        <v>4</v>
      </c>
      <c r="L6" s="3" t="s">
        <v>9</v>
      </c>
      <c r="M6" s="3" t="s">
        <v>21</v>
      </c>
      <c r="N6" s="3">
        <f ca="1">IF(J6="","", J6 - TODAY())</f>
        <v>1361</v>
      </c>
    </row>
    <row r="7" spans="1:14" x14ac:dyDescent="0.4">
      <c r="A7" t="s">
        <v>6</v>
      </c>
      <c r="B7">
        <v>45</v>
      </c>
      <c r="D7">
        <v>50</v>
      </c>
      <c r="F7" s="1">
        <f t="shared" ref="F7" si="0">D7 / B7</f>
        <v>1.1111111111111112</v>
      </c>
      <c r="G7" t="str">
        <f xml:space="preserve"> IF($F7 &gt;=1, "🟢 Achieved", IF($F7&gt;=0.8,"🟡 Almost","🔴 Behind"))</f>
        <v>🟢 Achieved</v>
      </c>
      <c r="I7" s="3" t="s">
        <v>23</v>
      </c>
      <c r="J7" s="4">
        <v>45979</v>
      </c>
      <c r="K7" s="3">
        <v>3</v>
      </c>
      <c r="L7" s="3" t="s">
        <v>10</v>
      </c>
      <c r="M7" s="3" t="s">
        <v>21</v>
      </c>
      <c r="N7" s="3">
        <f ca="1">IF(J7="","", J7 - TODAY())</f>
        <v>2</v>
      </c>
    </row>
    <row r="8" spans="1:14" x14ac:dyDescent="0.4">
      <c r="A8" t="s">
        <v>29</v>
      </c>
      <c r="B8">
        <v>4</v>
      </c>
      <c r="D8">
        <v>9</v>
      </c>
      <c r="N8" s="3" t="str">
        <f t="shared" ref="N8:N71" ca="1" si="1">IF(J8="","", J8 - TODAY())</f>
        <v/>
      </c>
    </row>
    <row r="9" spans="1:14" x14ac:dyDescent="0.4">
      <c r="N9" s="3" t="str">
        <f t="shared" ca="1" si="1"/>
        <v/>
      </c>
    </row>
    <row r="10" spans="1:14" x14ac:dyDescent="0.4">
      <c r="N10" s="3" t="str">
        <f t="shared" ca="1" si="1"/>
        <v/>
      </c>
    </row>
    <row r="11" spans="1:14" x14ac:dyDescent="0.4">
      <c r="N11" s="3" t="str">
        <f t="shared" ca="1" si="1"/>
        <v/>
      </c>
    </row>
    <row r="12" spans="1:14" x14ac:dyDescent="0.4">
      <c r="N12" s="3" t="str">
        <f t="shared" ca="1" si="1"/>
        <v/>
      </c>
    </row>
    <row r="13" spans="1:14" x14ac:dyDescent="0.4">
      <c r="N13" s="3" t="str">
        <f t="shared" ca="1" si="1"/>
        <v/>
      </c>
    </row>
    <row r="14" spans="1:14" x14ac:dyDescent="0.4">
      <c r="N14" s="3" t="str">
        <f t="shared" ca="1" si="1"/>
        <v/>
      </c>
    </row>
    <row r="15" spans="1:14" x14ac:dyDescent="0.4">
      <c r="N15" s="3" t="str">
        <f t="shared" ca="1" si="1"/>
        <v/>
      </c>
    </row>
    <row r="16" spans="1:14" x14ac:dyDescent="0.4">
      <c r="N16" s="3" t="str">
        <f t="shared" ca="1" si="1"/>
        <v/>
      </c>
    </row>
    <row r="17" spans="14:14" x14ac:dyDescent="0.4">
      <c r="N17" s="3" t="str">
        <f t="shared" ca="1" si="1"/>
        <v/>
      </c>
    </row>
    <row r="18" spans="14:14" x14ac:dyDescent="0.4">
      <c r="N18" s="3" t="str">
        <f t="shared" ca="1" si="1"/>
        <v/>
      </c>
    </row>
    <row r="19" spans="14:14" x14ac:dyDescent="0.4">
      <c r="N19" s="3" t="str">
        <f t="shared" ca="1" si="1"/>
        <v/>
      </c>
    </row>
    <row r="20" spans="14:14" x14ac:dyDescent="0.4">
      <c r="N20" s="3" t="str">
        <f t="shared" ca="1" si="1"/>
        <v/>
      </c>
    </row>
    <row r="21" spans="14:14" x14ac:dyDescent="0.4">
      <c r="N21" s="3" t="str">
        <f t="shared" ca="1" si="1"/>
        <v/>
      </c>
    </row>
    <row r="22" spans="14:14" x14ac:dyDescent="0.4">
      <c r="N22" s="3" t="str">
        <f t="shared" ca="1" si="1"/>
        <v/>
      </c>
    </row>
    <row r="23" spans="14:14" x14ac:dyDescent="0.4">
      <c r="N23" s="3" t="str">
        <f t="shared" ca="1" si="1"/>
        <v/>
      </c>
    </row>
    <row r="24" spans="14:14" x14ac:dyDescent="0.4">
      <c r="N24" s="3" t="str">
        <f t="shared" ca="1" si="1"/>
        <v/>
      </c>
    </row>
    <row r="25" spans="14:14" x14ac:dyDescent="0.4">
      <c r="N25" s="3" t="str">
        <f t="shared" ca="1" si="1"/>
        <v/>
      </c>
    </row>
    <row r="26" spans="14:14" x14ac:dyDescent="0.4">
      <c r="N26" s="3" t="str">
        <f t="shared" ca="1" si="1"/>
        <v/>
      </c>
    </row>
    <row r="27" spans="14:14" x14ac:dyDescent="0.4">
      <c r="N27" s="3" t="str">
        <f t="shared" ca="1" si="1"/>
        <v/>
      </c>
    </row>
    <row r="28" spans="14:14" x14ac:dyDescent="0.4">
      <c r="N28" s="3" t="str">
        <f t="shared" ca="1" si="1"/>
        <v/>
      </c>
    </row>
    <row r="29" spans="14:14" x14ac:dyDescent="0.4">
      <c r="N29" s="3" t="str">
        <f t="shared" ca="1" si="1"/>
        <v/>
      </c>
    </row>
    <row r="30" spans="14:14" x14ac:dyDescent="0.4">
      <c r="N30" s="3" t="str">
        <f t="shared" ca="1" si="1"/>
        <v/>
      </c>
    </row>
    <row r="31" spans="14:14" x14ac:dyDescent="0.4">
      <c r="N31" s="3" t="str">
        <f t="shared" ca="1" si="1"/>
        <v/>
      </c>
    </row>
    <row r="32" spans="14:14" x14ac:dyDescent="0.4">
      <c r="N32" s="3" t="str">
        <f t="shared" ca="1" si="1"/>
        <v/>
      </c>
    </row>
    <row r="33" spans="14:14" x14ac:dyDescent="0.4">
      <c r="N33" s="3" t="str">
        <f t="shared" ca="1" si="1"/>
        <v/>
      </c>
    </row>
    <row r="34" spans="14:14" x14ac:dyDescent="0.4">
      <c r="N34" s="3" t="str">
        <f t="shared" ca="1" si="1"/>
        <v/>
      </c>
    </row>
    <row r="35" spans="14:14" x14ac:dyDescent="0.4">
      <c r="N35" s="3" t="str">
        <f t="shared" ca="1" si="1"/>
        <v/>
      </c>
    </row>
    <row r="36" spans="14:14" x14ac:dyDescent="0.4">
      <c r="N36" s="3" t="str">
        <f t="shared" ca="1" si="1"/>
        <v/>
      </c>
    </row>
    <row r="37" spans="14:14" x14ac:dyDescent="0.4">
      <c r="N37" s="3" t="str">
        <f t="shared" ca="1" si="1"/>
        <v/>
      </c>
    </row>
    <row r="38" spans="14:14" x14ac:dyDescent="0.4">
      <c r="N38" s="3" t="str">
        <f t="shared" ca="1" si="1"/>
        <v/>
      </c>
    </row>
    <row r="39" spans="14:14" x14ac:dyDescent="0.4">
      <c r="N39" s="3" t="str">
        <f t="shared" ca="1" si="1"/>
        <v/>
      </c>
    </row>
    <row r="40" spans="14:14" x14ac:dyDescent="0.4">
      <c r="N40" s="3" t="str">
        <f t="shared" ca="1" si="1"/>
        <v/>
      </c>
    </row>
    <row r="41" spans="14:14" x14ac:dyDescent="0.4">
      <c r="N41" s="3" t="str">
        <f t="shared" ca="1" si="1"/>
        <v/>
      </c>
    </row>
    <row r="42" spans="14:14" x14ac:dyDescent="0.4">
      <c r="N42" s="3" t="str">
        <f t="shared" ca="1" si="1"/>
        <v/>
      </c>
    </row>
    <row r="43" spans="14:14" x14ac:dyDescent="0.4">
      <c r="N43" s="3" t="str">
        <f t="shared" ca="1" si="1"/>
        <v/>
      </c>
    </row>
    <row r="44" spans="14:14" x14ac:dyDescent="0.4">
      <c r="N44" s="3" t="str">
        <f t="shared" ca="1" si="1"/>
        <v/>
      </c>
    </row>
    <row r="45" spans="14:14" x14ac:dyDescent="0.4">
      <c r="N45" s="3" t="str">
        <f t="shared" ca="1" si="1"/>
        <v/>
      </c>
    </row>
    <row r="46" spans="14:14" x14ac:dyDescent="0.4">
      <c r="N46" s="3" t="str">
        <f t="shared" ca="1" si="1"/>
        <v/>
      </c>
    </row>
    <row r="47" spans="14:14" x14ac:dyDescent="0.4">
      <c r="N47" s="3" t="str">
        <f t="shared" ca="1" si="1"/>
        <v/>
      </c>
    </row>
    <row r="48" spans="14:14" x14ac:dyDescent="0.4">
      <c r="N48" s="3" t="str">
        <f t="shared" ca="1" si="1"/>
        <v/>
      </c>
    </row>
    <row r="49" spans="14:14" x14ac:dyDescent="0.4">
      <c r="N49" s="3" t="str">
        <f t="shared" ca="1" si="1"/>
        <v/>
      </c>
    </row>
    <row r="50" spans="14:14" x14ac:dyDescent="0.4">
      <c r="N50" s="3" t="str">
        <f t="shared" ca="1" si="1"/>
        <v/>
      </c>
    </row>
    <row r="51" spans="14:14" x14ac:dyDescent="0.4">
      <c r="N51" s="3" t="str">
        <f t="shared" ca="1" si="1"/>
        <v/>
      </c>
    </row>
    <row r="52" spans="14:14" x14ac:dyDescent="0.4">
      <c r="N52" s="3" t="str">
        <f t="shared" ca="1" si="1"/>
        <v/>
      </c>
    </row>
    <row r="53" spans="14:14" x14ac:dyDescent="0.4">
      <c r="N53" s="3" t="str">
        <f t="shared" ca="1" si="1"/>
        <v/>
      </c>
    </row>
    <row r="54" spans="14:14" x14ac:dyDescent="0.4">
      <c r="N54" s="3" t="str">
        <f t="shared" ca="1" si="1"/>
        <v/>
      </c>
    </row>
    <row r="55" spans="14:14" x14ac:dyDescent="0.4">
      <c r="N55" s="3" t="str">
        <f t="shared" ca="1" si="1"/>
        <v/>
      </c>
    </row>
    <row r="56" spans="14:14" x14ac:dyDescent="0.4">
      <c r="N56" s="3" t="str">
        <f t="shared" ca="1" si="1"/>
        <v/>
      </c>
    </row>
    <row r="57" spans="14:14" x14ac:dyDescent="0.4">
      <c r="N57" s="3" t="str">
        <f t="shared" ca="1" si="1"/>
        <v/>
      </c>
    </row>
    <row r="58" spans="14:14" x14ac:dyDescent="0.4">
      <c r="N58" s="3" t="str">
        <f t="shared" ca="1" si="1"/>
        <v/>
      </c>
    </row>
    <row r="59" spans="14:14" x14ac:dyDescent="0.4">
      <c r="N59" s="3" t="str">
        <f t="shared" ca="1" si="1"/>
        <v/>
      </c>
    </row>
    <row r="60" spans="14:14" x14ac:dyDescent="0.4">
      <c r="N60" s="3" t="str">
        <f t="shared" ca="1" si="1"/>
        <v/>
      </c>
    </row>
    <row r="61" spans="14:14" x14ac:dyDescent="0.4">
      <c r="N61" s="3" t="str">
        <f t="shared" ca="1" si="1"/>
        <v/>
      </c>
    </row>
    <row r="62" spans="14:14" x14ac:dyDescent="0.4">
      <c r="N62" s="3" t="str">
        <f t="shared" ca="1" si="1"/>
        <v/>
      </c>
    </row>
    <row r="63" spans="14:14" x14ac:dyDescent="0.4">
      <c r="N63" s="3" t="str">
        <f t="shared" ca="1" si="1"/>
        <v/>
      </c>
    </row>
    <row r="64" spans="14:14" x14ac:dyDescent="0.4">
      <c r="N64" s="3" t="str">
        <f t="shared" ca="1" si="1"/>
        <v/>
      </c>
    </row>
    <row r="65" spans="14:14" x14ac:dyDescent="0.4">
      <c r="N65" s="3" t="str">
        <f t="shared" ca="1" si="1"/>
        <v/>
      </c>
    </row>
    <row r="66" spans="14:14" x14ac:dyDescent="0.4">
      <c r="N66" s="3" t="str">
        <f t="shared" ca="1" si="1"/>
        <v/>
      </c>
    </row>
    <row r="67" spans="14:14" x14ac:dyDescent="0.4">
      <c r="N67" s="3" t="str">
        <f t="shared" ca="1" si="1"/>
        <v/>
      </c>
    </row>
    <row r="68" spans="14:14" x14ac:dyDescent="0.4">
      <c r="N68" s="3" t="str">
        <f t="shared" ca="1" si="1"/>
        <v/>
      </c>
    </row>
    <row r="69" spans="14:14" x14ac:dyDescent="0.4">
      <c r="N69" s="3" t="str">
        <f t="shared" ca="1" si="1"/>
        <v/>
      </c>
    </row>
    <row r="70" spans="14:14" x14ac:dyDescent="0.4">
      <c r="N70" s="3" t="str">
        <f t="shared" ca="1" si="1"/>
        <v/>
      </c>
    </row>
    <row r="71" spans="14:14" x14ac:dyDescent="0.4">
      <c r="N71" s="3" t="str">
        <f t="shared" ca="1" si="1"/>
        <v/>
      </c>
    </row>
    <row r="72" spans="14:14" x14ac:dyDescent="0.4">
      <c r="N72" s="3" t="str">
        <f t="shared" ref="N72:N135" ca="1" si="2">IF(J72="","", J72 - TODAY())</f>
        <v/>
      </c>
    </row>
    <row r="73" spans="14:14" x14ac:dyDescent="0.4">
      <c r="N73" s="3" t="str">
        <f t="shared" ca="1" si="2"/>
        <v/>
      </c>
    </row>
    <row r="74" spans="14:14" x14ac:dyDescent="0.4">
      <c r="N74" s="3" t="str">
        <f t="shared" ca="1" si="2"/>
        <v/>
      </c>
    </row>
    <row r="75" spans="14:14" x14ac:dyDescent="0.4">
      <c r="N75" s="3" t="str">
        <f t="shared" ca="1" si="2"/>
        <v/>
      </c>
    </row>
    <row r="76" spans="14:14" x14ac:dyDescent="0.4">
      <c r="N76" s="3" t="str">
        <f t="shared" ca="1" si="2"/>
        <v/>
      </c>
    </row>
    <row r="77" spans="14:14" x14ac:dyDescent="0.4">
      <c r="N77" s="3" t="str">
        <f t="shared" ca="1" si="2"/>
        <v/>
      </c>
    </row>
    <row r="78" spans="14:14" x14ac:dyDescent="0.4">
      <c r="N78" s="3" t="str">
        <f t="shared" ca="1" si="2"/>
        <v/>
      </c>
    </row>
    <row r="79" spans="14:14" x14ac:dyDescent="0.4">
      <c r="N79" s="3" t="str">
        <f t="shared" ca="1" si="2"/>
        <v/>
      </c>
    </row>
    <row r="80" spans="14:14" x14ac:dyDescent="0.4">
      <c r="N80" s="3" t="str">
        <f t="shared" ca="1" si="2"/>
        <v/>
      </c>
    </row>
    <row r="81" spans="14:14" x14ac:dyDescent="0.4">
      <c r="N81" s="3" t="str">
        <f t="shared" ca="1" si="2"/>
        <v/>
      </c>
    </row>
    <row r="82" spans="14:14" x14ac:dyDescent="0.4">
      <c r="N82" s="3" t="str">
        <f t="shared" ca="1" si="2"/>
        <v/>
      </c>
    </row>
    <row r="83" spans="14:14" x14ac:dyDescent="0.4">
      <c r="N83" s="3" t="str">
        <f t="shared" ca="1" si="2"/>
        <v/>
      </c>
    </row>
    <row r="84" spans="14:14" x14ac:dyDescent="0.4">
      <c r="N84" s="3" t="str">
        <f t="shared" ca="1" si="2"/>
        <v/>
      </c>
    </row>
    <row r="85" spans="14:14" x14ac:dyDescent="0.4">
      <c r="N85" s="3" t="str">
        <f t="shared" ca="1" si="2"/>
        <v/>
      </c>
    </row>
    <row r="86" spans="14:14" x14ac:dyDescent="0.4">
      <c r="N86" s="3" t="str">
        <f t="shared" ca="1" si="2"/>
        <v/>
      </c>
    </row>
    <row r="87" spans="14:14" x14ac:dyDescent="0.4">
      <c r="N87" s="3" t="str">
        <f t="shared" ca="1" si="2"/>
        <v/>
      </c>
    </row>
    <row r="88" spans="14:14" x14ac:dyDescent="0.4">
      <c r="N88" s="3" t="str">
        <f t="shared" ca="1" si="2"/>
        <v/>
      </c>
    </row>
    <row r="89" spans="14:14" x14ac:dyDescent="0.4">
      <c r="N89" s="3" t="str">
        <f t="shared" ca="1" si="2"/>
        <v/>
      </c>
    </row>
    <row r="90" spans="14:14" x14ac:dyDescent="0.4">
      <c r="N90" s="3" t="str">
        <f t="shared" ca="1" si="2"/>
        <v/>
      </c>
    </row>
    <row r="91" spans="14:14" x14ac:dyDescent="0.4">
      <c r="N91" s="3" t="str">
        <f t="shared" ca="1" si="2"/>
        <v/>
      </c>
    </row>
    <row r="92" spans="14:14" x14ac:dyDescent="0.4">
      <c r="N92" s="3" t="str">
        <f t="shared" ca="1" si="2"/>
        <v/>
      </c>
    </row>
    <row r="93" spans="14:14" x14ac:dyDescent="0.4">
      <c r="N93" s="3" t="str">
        <f t="shared" ca="1" si="2"/>
        <v/>
      </c>
    </row>
    <row r="94" spans="14:14" x14ac:dyDescent="0.4">
      <c r="N94" s="3" t="str">
        <f t="shared" ca="1" si="2"/>
        <v/>
      </c>
    </row>
    <row r="95" spans="14:14" x14ac:dyDescent="0.4">
      <c r="N95" s="3" t="str">
        <f t="shared" ca="1" si="2"/>
        <v/>
      </c>
    </row>
    <row r="96" spans="14:14" x14ac:dyDescent="0.4">
      <c r="N96" s="3" t="str">
        <f t="shared" ca="1" si="2"/>
        <v/>
      </c>
    </row>
    <row r="97" spans="14:14" x14ac:dyDescent="0.4">
      <c r="N97" s="3" t="str">
        <f t="shared" ca="1" si="2"/>
        <v/>
      </c>
    </row>
    <row r="98" spans="14:14" x14ac:dyDescent="0.4">
      <c r="N98" s="3" t="str">
        <f t="shared" ca="1" si="2"/>
        <v/>
      </c>
    </row>
    <row r="99" spans="14:14" x14ac:dyDescent="0.4">
      <c r="N99" s="3" t="str">
        <f t="shared" ca="1" si="2"/>
        <v/>
      </c>
    </row>
    <row r="100" spans="14:14" x14ac:dyDescent="0.4">
      <c r="N100" s="3" t="str">
        <f t="shared" ca="1" si="2"/>
        <v/>
      </c>
    </row>
    <row r="101" spans="14:14" x14ac:dyDescent="0.4">
      <c r="N101" s="3" t="str">
        <f t="shared" ca="1" si="2"/>
        <v/>
      </c>
    </row>
    <row r="102" spans="14:14" x14ac:dyDescent="0.4">
      <c r="N102" s="3" t="str">
        <f t="shared" ca="1" si="2"/>
        <v/>
      </c>
    </row>
    <row r="103" spans="14:14" x14ac:dyDescent="0.4">
      <c r="N103" s="3" t="str">
        <f t="shared" ca="1" si="2"/>
        <v/>
      </c>
    </row>
    <row r="104" spans="14:14" x14ac:dyDescent="0.4">
      <c r="N104" s="3" t="str">
        <f t="shared" ca="1" si="2"/>
        <v/>
      </c>
    </row>
    <row r="105" spans="14:14" x14ac:dyDescent="0.4">
      <c r="N105" s="3" t="str">
        <f t="shared" ca="1" si="2"/>
        <v/>
      </c>
    </row>
    <row r="106" spans="14:14" x14ac:dyDescent="0.4">
      <c r="N106" s="3" t="str">
        <f t="shared" ca="1" si="2"/>
        <v/>
      </c>
    </row>
    <row r="107" spans="14:14" x14ac:dyDescent="0.4">
      <c r="N107" s="3" t="str">
        <f t="shared" ca="1" si="2"/>
        <v/>
      </c>
    </row>
    <row r="108" spans="14:14" x14ac:dyDescent="0.4">
      <c r="N108" s="3" t="str">
        <f t="shared" ca="1" si="2"/>
        <v/>
      </c>
    </row>
    <row r="109" spans="14:14" x14ac:dyDescent="0.4">
      <c r="N109" s="3" t="str">
        <f t="shared" ca="1" si="2"/>
        <v/>
      </c>
    </row>
    <row r="110" spans="14:14" x14ac:dyDescent="0.4">
      <c r="N110" s="3" t="str">
        <f t="shared" ca="1" si="2"/>
        <v/>
      </c>
    </row>
    <row r="111" spans="14:14" x14ac:dyDescent="0.4">
      <c r="N111" s="3" t="str">
        <f t="shared" ca="1" si="2"/>
        <v/>
      </c>
    </row>
    <row r="112" spans="14:14" x14ac:dyDescent="0.4">
      <c r="N112" s="3" t="str">
        <f t="shared" ca="1" si="2"/>
        <v/>
      </c>
    </row>
    <row r="113" spans="14:14" x14ac:dyDescent="0.4">
      <c r="N113" s="3" t="str">
        <f t="shared" ca="1" si="2"/>
        <v/>
      </c>
    </row>
    <row r="114" spans="14:14" x14ac:dyDescent="0.4">
      <c r="N114" s="3" t="str">
        <f t="shared" ca="1" si="2"/>
        <v/>
      </c>
    </row>
    <row r="115" spans="14:14" x14ac:dyDescent="0.4">
      <c r="N115" s="3" t="str">
        <f t="shared" ca="1" si="2"/>
        <v/>
      </c>
    </row>
    <row r="116" spans="14:14" x14ac:dyDescent="0.4">
      <c r="N116" s="3" t="str">
        <f t="shared" ca="1" si="2"/>
        <v/>
      </c>
    </row>
    <row r="117" spans="14:14" x14ac:dyDescent="0.4">
      <c r="N117" s="3" t="str">
        <f t="shared" ca="1" si="2"/>
        <v/>
      </c>
    </row>
    <row r="118" spans="14:14" x14ac:dyDescent="0.4">
      <c r="N118" s="3" t="str">
        <f t="shared" ca="1" si="2"/>
        <v/>
      </c>
    </row>
    <row r="119" spans="14:14" x14ac:dyDescent="0.4">
      <c r="N119" s="3" t="str">
        <f t="shared" ca="1" si="2"/>
        <v/>
      </c>
    </row>
    <row r="120" spans="14:14" x14ac:dyDescent="0.4">
      <c r="N120" s="3" t="str">
        <f t="shared" ca="1" si="2"/>
        <v/>
      </c>
    </row>
    <row r="121" spans="14:14" x14ac:dyDescent="0.4">
      <c r="N121" s="3" t="str">
        <f t="shared" ca="1" si="2"/>
        <v/>
      </c>
    </row>
    <row r="122" spans="14:14" x14ac:dyDescent="0.4">
      <c r="N122" s="3" t="str">
        <f t="shared" ca="1" si="2"/>
        <v/>
      </c>
    </row>
    <row r="123" spans="14:14" x14ac:dyDescent="0.4">
      <c r="N123" s="3" t="str">
        <f t="shared" ca="1" si="2"/>
        <v/>
      </c>
    </row>
    <row r="124" spans="14:14" x14ac:dyDescent="0.4">
      <c r="N124" s="3" t="str">
        <f t="shared" ca="1" si="2"/>
        <v/>
      </c>
    </row>
    <row r="125" spans="14:14" x14ac:dyDescent="0.4">
      <c r="N125" s="3" t="str">
        <f t="shared" ca="1" si="2"/>
        <v/>
      </c>
    </row>
    <row r="126" spans="14:14" x14ac:dyDescent="0.4">
      <c r="N126" s="3" t="str">
        <f t="shared" ca="1" si="2"/>
        <v/>
      </c>
    </row>
    <row r="127" spans="14:14" x14ac:dyDescent="0.4">
      <c r="N127" s="3" t="str">
        <f t="shared" ca="1" si="2"/>
        <v/>
      </c>
    </row>
    <row r="128" spans="14:14" x14ac:dyDescent="0.4">
      <c r="N128" s="3" t="str">
        <f t="shared" ca="1" si="2"/>
        <v/>
      </c>
    </row>
    <row r="129" spans="14:14" x14ac:dyDescent="0.4">
      <c r="N129" s="3" t="str">
        <f t="shared" ca="1" si="2"/>
        <v/>
      </c>
    </row>
    <row r="130" spans="14:14" x14ac:dyDescent="0.4">
      <c r="N130" s="3" t="str">
        <f t="shared" ca="1" si="2"/>
        <v/>
      </c>
    </row>
    <row r="131" spans="14:14" x14ac:dyDescent="0.4">
      <c r="N131" s="3" t="str">
        <f t="shared" ca="1" si="2"/>
        <v/>
      </c>
    </row>
    <row r="132" spans="14:14" x14ac:dyDescent="0.4">
      <c r="N132" s="3" t="str">
        <f t="shared" ca="1" si="2"/>
        <v/>
      </c>
    </row>
    <row r="133" spans="14:14" x14ac:dyDescent="0.4">
      <c r="N133" s="3" t="str">
        <f t="shared" ca="1" si="2"/>
        <v/>
      </c>
    </row>
    <row r="134" spans="14:14" x14ac:dyDescent="0.4">
      <c r="N134" s="3" t="str">
        <f t="shared" ca="1" si="2"/>
        <v/>
      </c>
    </row>
    <row r="135" spans="14:14" x14ac:dyDescent="0.4">
      <c r="N135" s="3" t="str">
        <f t="shared" ca="1" si="2"/>
        <v/>
      </c>
    </row>
    <row r="136" spans="14:14" x14ac:dyDescent="0.4">
      <c r="N136" s="3" t="str">
        <f t="shared" ref="N136:N189" ca="1" si="3">IF(J136="","", J136 - TODAY())</f>
        <v/>
      </c>
    </row>
    <row r="137" spans="14:14" x14ac:dyDescent="0.4">
      <c r="N137" s="3" t="str">
        <f t="shared" ca="1" si="3"/>
        <v/>
      </c>
    </row>
    <row r="138" spans="14:14" x14ac:dyDescent="0.4">
      <c r="N138" s="3" t="str">
        <f t="shared" ca="1" si="3"/>
        <v/>
      </c>
    </row>
    <row r="139" spans="14:14" x14ac:dyDescent="0.4">
      <c r="N139" s="3" t="str">
        <f t="shared" ca="1" si="3"/>
        <v/>
      </c>
    </row>
    <row r="140" spans="14:14" x14ac:dyDescent="0.4">
      <c r="N140" s="3" t="str">
        <f t="shared" ca="1" si="3"/>
        <v/>
      </c>
    </row>
    <row r="141" spans="14:14" x14ac:dyDescent="0.4">
      <c r="N141" s="3" t="str">
        <f t="shared" ca="1" si="3"/>
        <v/>
      </c>
    </row>
    <row r="142" spans="14:14" x14ac:dyDescent="0.4">
      <c r="N142" s="3" t="str">
        <f t="shared" ca="1" si="3"/>
        <v/>
      </c>
    </row>
    <row r="143" spans="14:14" x14ac:dyDescent="0.4">
      <c r="N143" s="3" t="str">
        <f t="shared" ca="1" si="3"/>
        <v/>
      </c>
    </row>
    <row r="144" spans="14:14" x14ac:dyDescent="0.4">
      <c r="N144" s="3" t="str">
        <f t="shared" ca="1" si="3"/>
        <v/>
      </c>
    </row>
    <row r="145" spans="14:14" x14ac:dyDescent="0.4">
      <c r="N145" s="3" t="str">
        <f t="shared" ca="1" si="3"/>
        <v/>
      </c>
    </row>
    <row r="146" spans="14:14" x14ac:dyDescent="0.4">
      <c r="N146" s="3" t="str">
        <f t="shared" ca="1" si="3"/>
        <v/>
      </c>
    </row>
    <row r="147" spans="14:14" x14ac:dyDescent="0.4">
      <c r="N147" s="3" t="str">
        <f t="shared" ca="1" si="3"/>
        <v/>
      </c>
    </row>
    <row r="148" spans="14:14" x14ac:dyDescent="0.4">
      <c r="N148" s="3" t="str">
        <f t="shared" ca="1" si="3"/>
        <v/>
      </c>
    </row>
    <row r="149" spans="14:14" x14ac:dyDescent="0.4">
      <c r="N149" s="3" t="str">
        <f t="shared" ca="1" si="3"/>
        <v/>
      </c>
    </row>
    <row r="150" spans="14:14" x14ac:dyDescent="0.4">
      <c r="N150" s="3" t="str">
        <f t="shared" ca="1" si="3"/>
        <v/>
      </c>
    </row>
    <row r="151" spans="14:14" x14ac:dyDescent="0.4">
      <c r="N151" s="3" t="str">
        <f t="shared" ca="1" si="3"/>
        <v/>
      </c>
    </row>
    <row r="152" spans="14:14" x14ac:dyDescent="0.4">
      <c r="N152" s="3" t="str">
        <f t="shared" ca="1" si="3"/>
        <v/>
      </c>
    </row>
    <row r="153" spans="14:14" x14ac:dyDescent="0.4">
      <c r="N153" s="3" t="str">
        <f t="shared" ca="1" si="3"/>
        <v/>
      </c>
    </row>
    <row r="154" spans="14:14" x14ac:dyDescent="0.4">
      <c r="N154" s="3" t="str">
        <f t="shared" ca="1" si="3"/>
        <v/>
      </c>
    </row>
    <row r="155" spans="14:14" x14ac:dyDescent="0.4">
      <c r="N155" s="3" t="str">
        <f t="shared" ca="1" si="3"/>
        <v/>
      </c>
    </row>
    <row r="156" spans="14:14" x14ac:dyDescent="0.4">
      <c r="N156" s="3" t="str">
        <f t="shared" ca="1" si="3"/>
        <v/>
      </c>
    </row>
    <row r="157" spans="14:14" x14ac:dyDescent="0.4">
      <c r="N157" s="3" t="str">
        <f t="shared" ca="1" si="3"/>
        <v/>
      </c>
    </row>
    <row r="158" spans="14:14" x14ac:dyDescent="0.4">
      <c r="N158" s="3" t="str">
        <f t="shared" ca="1" si="3"/>
        <v/>
      </c>
    </row>
    <row r="159" spans="14:14" x14ac:dyDescent="0.4">
      <c r="N159" s="3" t="str">
        <f t="shared" ca="1" si="3"/>
        <v/>
      </c>
    </row>
    <row r="160" spans="14:14" x14ac:dyDescent="0.4">
      <c r="N160" s="3" t="str">
        <f t="shared" ca="1" si="3"/>
        <v/>
      </c>
    </row>
    <row r="161" spans="14:14" x14ac:dyDescent="0.4">
      <c r="N161" s="3" t="str">
        <f t="shared" ca="1" si="3"/>
        <v/>
      </c>
    </row>
    <row r="162" spans="14:14" x14ac:dyDescent="0.4">
      <c r="N162" s="3" t="str">
        <f t="shared" ca="1" si="3"/>
        <v/>
      </c>
    </row>
    <row r="163" spans="14:14" x14ac:dyDescent="0.4">
      <c r="N163" s="3" t="str">
        <f t="shared" ca="1" si="3"/>
        <v/>
      </c>
    </row>
    <row r="164" spans="14:14" x14ac:dyDescent="0.4">
      <c r="N164" s="3" t="str">
        <f t="shared" ca="1" si="3"/>
        <v/>
      </c>
    </row>
    <row r="165" spans="14:14" x14ac:dyDescent="0.4">
      <c r="N165" s="3" t="str">
        <f t="shared" ca="1" si="3"/>
        <v/>
      </c>
    </row>
    <row r="166" spans="14:14" x14ac:dyDescent="0.4">
      <c r="N166" s="3" t="str">
        <f t="shared" ca="1" si="3"/>
        <v/>
      </c>
    </row>
    <row r="167" spans="14:14" x14ac:dyDescent="0.4">
      <c r="N167" s="3" t="str">
        <f t="shared" ca="1" si="3"/>
        <v/>
      </c>
    </row>
    <row r="168" spans="14:14" x14ac:dyDescent="0.4">
      <c r="N168" s="3" t="str">
        <f t="shared" ca="1" si="3"/>
        <v/>
      </c>
    </row>
    <row r="169" spans="14:14" x14ac:dyDescent="0.4">
      <c r="N169" s="3" t="str">
        <f t="shared" ca="1" si="3"/>
        <v/>
      </c>
    </row>
    <row r="170" spans="14:14" x14ac:dyDescent="0.4">
      <c r="N170" s="3" t="str">
        <f t="shared" ca="1" si="3"/>
        <v/>
      </c>
    </row>
    <row r="171" spans="14:14" x14ac:dyDescent="0.4">
      <c r="N171" s="3" t="str">
        <f t="shared" ca="1" si="3"/>
        <v/>
      </c>
    </row>
    <row r="172" spans="14:14" x14ac:dyDescent="0.4">
      <c r="N172" s="3" t="str">
        <f t="shared" ca="1" si="3"/>
        <v/>
      </c>
    </row>
    <row r="173" spans="14:14" x14ac:dyDescent="0.4">
      <c r="N173" s="3" t="str">
        <f t="shared" ca="1" si="3"/>
        <v/>
      </c>
    </row>
    <row r="174" spans="14:14" x14ac:dyDescent="0.4">
      <c r="N174" s="3" t="str">
        <f t="shared" ca="1" si="3"/>
        <v/>
      </c>
    </row>
    <row r="175" spans="14:14" x14ac:dyDescent="0.4">
      <c r="N175" s="3" t="str">
        <f t="shared" ca="1" si="3"/>
        <v/>
      </c>
    </row>
    <row r="176" spans="14:14" x14ac:dyDescent="0.4">
      <c r="N176" s="3" t="str">
        <f t="shared" ca="1" si="3"/>
        <v/>
      </c>
    </row>
    <row r="177" spans="14:14" x14ac:dyDescent="0.4">
      <c r="N177" s="3" t="str">
        <f t="shared" ca="1" si="3"/>
        <v/>
      </c>
    </row>
    <row r="178" spans="14:14" x14ac:dyDescent="0.4">
      <c r="N178" s="3" t="str">
        <f t="shared" ca="1" si="3"/>
        <v/>
      </c>
    </row>
    <row r="179" spans="14:14" x14ac:dyDescent="0.4">
      <c r="N179" s="3" t="str">
        <f t="shared" ca="1" si="3"/>
        <v/>
      </c>
    </row>
    <row r="180" spans="14:14" x14ac:dyDescent="0.4">
      <c r="N180" s="3" t="str">
        <f t="shared" ca="1" si="3"/>
        <v/>
      </c>
    </row>
    <row r="181" spans="14:14" x14ac:dyDescent="0.4">
      <c r="N181" s="3" t="str">
        <f t="shared" ca="1" si="3"/>
        <v/>
      </c>
    </row>
    <row r="182" spans="14:14" x14ac:dyDescent="0.4">
      <c r="N182" s="3" t="str">
        <f t="shared" ca="1" si="3"/>
        <v/>
      </c>
    </row>
    <row r="183" spans="14:14" x14ac:dyDescent="0.4">
      <c r="N183" s="3" t="str">
        <f t="shared" ca="1" si="3"/>
        <v/>
      </c>
    </row>
    <row r="184" spans="14:14" x14ac:dyDescent="0.4">
      <c r="N184" s="3" t="str">
        <f t="shared" ca="1" si="3"/>
        <v/>
      </c>
    </row>
    <row r="185" spans="14:14" x14ac:dyDescent="0.4">
      <c r="N185" s="3" t="str">
        <f t="shared" ca="1" si="3"/>
        <v/>
      </c>
    </row>
    <row r="186" spans="14:14" x14ac:dyDescent="0.4">
      <c r="N186" s="3" t="str">
        <f t="shared" ca="1" si="3"/>
        <v/>
      </c>
    </row>
    <row r="187" spans="14:14" x14ac:dyDescent="0.4">
      <c r="N187" s="3" t="str">
        <f t="shared" ca="1" si="3"/>
        <v/>
      </c>
    </row>
    <row r="188" spans="14:14" x14ac:dyDescent="0.4">
      <c r="N188" s="3" t="str">
        <f t="shared" ca="1" si="3"/>
        <v/>
      </c>
    </row>
    <row r="189" spans="14:14" x14ac:dyDescent="0.4">
      <c r="N189" s="3" t="str">
        <f t="shared" ca="1" si="3"/>
        <v/>
      </c>
    </row>
  </sheetData>
  <dataValidations count="2">
    <dataValidation type="list" allowBlank="1" showInputMessage="1" showErrorMessage="1" sqref="L6:L1048576" xr:uid="{1FA7CD1B-9E2D-4BAC-9C28-6EFCB5FE4890}">
      <formula1>"Not Started,In Progress, Done"</formula1>
    </dataValidation>
    <dataValidation type="list" allowBlank="1" showInputMessage="1" showErrorMessage="1" sqref="M6:M1048576" xr:uid="{440F34E3-8AA8-4E65-B398-E9959DC486BC}">
      <formula1>"High,Medium,Low"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tudyTarget">
                <anchor moveWithCells="1" sizeWithCells="1">
                  <from>
                    <xdr:col>2</xdr:col>
                    <xdr:colOff>622300</xdr:colOff>
                    <xdr:row>1</xdr:row>
                    <xdr:rowOff>127000</xdr:rowOff>
                  </from>
                  <to>
                    <xdr:col>4</xdr:col>
                    <xdr:colOff>495300</xdr:colOff>
                    <xdr:row>3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360EFD-8A68-43A3-8D7B-92F97BBE7C20}">
  <sheetPr codeName="Sheet4"/>
  <dimension ref="A1:I4"/>
  <sheetViews>
    <sheetView workbookViewId="0">
      <selection activeCell="G6" sqref="G6"/>
    </sheetView>
  </sheetViews>
  <sheetFormatPr defaultRowHeight="16" x14ac:dyDescent="0.4"/>
  <cols>
    <col min="1" max="1" width="14.1640625" customWidth="1"/>
    <col min="2" max="2" width="11.9140625" customWidth="1"/>
    <col min="3" max="3" width="15.75" customWidth="1"/>
  </cols>
  <sheetData>
    <row r="1" spans="1:9" ht="29.5" customHeight="1" x14ac:dyDescent="0.4">
      <c r="A1" s="5" t="s">
        <v>26</v>
      </c>
      <c r="B1" s="5" t="s">
        <v>27</v>
      </c>
      <c r="C1" s="5" t="s">
        <v>28</v>
      </c>
      <c r="G1" s="5" t="s">
        <v>36</v>
      </c>
      <c r="H1" s="5"/>
      <c r="I1" s="5"/>
    </row>
    <row r="2" spans="1:9" x14ac:dyDescent="0.4">
      <c r="A2" s="2">
        <v>45691</v>
      </c>
      <c r="B2" t="s">
        <v>25</v>
      </c>
      <c r="C2">
        <v>5</v>
      </c>
      <c r="G2" t="s">
        <v>37</v>
      </c>
    </row>
    <row r="3" spans="1:9" x14ac:dyDescent="0.4">
      <c r="A3" s="2">
        <v>45980</v>
      </c>
      <c r="B3" t="s">
        <v>31</v>
      </c>
      <c r="C3">
        <v>7</v>
      </c>
    </row>
    <row r="4" spans="1:9" x14ac:dyDescent="0.4">
      <c r="A4" s="2">
        <v>45979</v>
      </c>
      <c r="B4" t="s">
        <v>32</v>
      </c>
      <c r="C4">
        <v>3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BCA33F-6631-4559-9962-5E4BD3ADEFDA}">
  <sheetPr codeName="Sheet1">
    <pageSetUpPr fitToPage="1"/>
  </sheetPr>
  <dimension ref="A1:N8"/>
  <sheetViews>
    <sheetView zoomScale="86" workbookViewId="0">
      <selection activeCell="H5" sqref="H5"/>
    </sheetView>
  </sheetViews>
  <sheetFormatPr defaultColWidth="20.1640625" defaultRowHeight="40.5" customHeight="1" x14ac:dyDescent="0.4"/>
  <cols>
    <col min="1" max="1" width="26.33203125" customWidth="1"/>
  </cols>
  <sheetData>
    <row r="1" spans="1:14" ht="40.5" customHeight="1" x14ac:dyDescent="0.4">
      <c r="B1" s="12" t="s">
        <v>12</v>
      </c>
      <c r="C1" s="12" t="s">
        <v>13</v>
      </c>
      <c r="D1" s="12" t="s">
        <v>14</v>
      </c>
      <c r="E1" s="12" t="s">
        <v>15</v>
      </c>
      <c r="F1" s="12" t="s">
        <v>16</v>
      </c>
      <c r="G1" s="12" t="s">
        <v>17</v>
      </c>
      <c r="H1" s="12" t="s">
        <v>18</v>
      </c>
      <c r="I1" s="13"/>
      <c r="J1" s="11" t="s">
        <v>38</v>
      </c>
      <c r="K1" s="11" t="s">
        <v>39</v>
      </c>
      <c r="L1" s="11" t="s">
        <v>40</v>
      </c>
      <c r="M1" s="11" t="s">
        <v>41</v>
      </c>
      <c r="N1" s="11" t="s">
        <v>3</v>
      </c>
    </row>
    <row r="2" spans="1:14" ht="40.5" customHeight="1" x14ac:dyDescent="0.4">
      <c r="C2" s="9" t="s">
        <v>30</v>
      </c>
      <c r="D2" s="10" t="s">
        <v>33</v>
      </c>
      <c r="J2" s="11" t="s">
        <v>12</v>
      </c>
      <c r="K2" s="11">
        <v>0</v>
      </c>
      <c r="L2" s="11">
        <v>0</v>
      </c>
      <c r="M2" s="11">
        <v>0</v>
      </c>
      <c r="N2" s="11" t="s">
        <v>42</v>
      </c>
    </row>
    <row r="3" spans="1:14" ht="40.5" customHeight="1" x14ac:dyDescent="0.4">
      <c r="C3" s="10" t="s">
        <v>34</v>
      </c>
      <c r="J3" s="11" t="s">
        <v>13</v>
      </c>
      <c r="K3" s="11">
        <v>0</v>
      </c>
      <c r="L3" s="11">
        <v>0</v>
      </c>
      <c r="M3" s="11">
        <v>6</v>
      </c>
      <c r="N3" s="11" t="s">
        <v>42</v>
      </c>
    </row>
    <row r="4" spans="1:14" ht="40.5" customHeight="1" x14ac:dyDescent="0.4">
      <c r="A4" t="s">
        <v>43</v>
      </c>
      <c r="J4" s="11" t="s">
        <v>14</v>
      </c>
      <c r="K4" s="11">
        <v>0</v>
      </c>
      <c r="L4" s="11">
        <v>0</v>
      </c>
      <c r="M4" s="11">
        <v>7</v>
      </c>
      <c r="N4" s="11" t="s">
        <v>42</v>
      </c>
    </row>
    <row r="5" spans="1:14" ht="40.5" customHeight="1" x14ac:dyDescent="0.4">
      <c r="A5" s="2">
        <f ca="1">TODAY()-WEEKDAY(TODAY(), 2)+1</f>
        <v>45971</v>
      </c>
      <c r="J5" s="11" t="s">
        <v>15</v>
      </c>
      <c r="K5" s="11">
        <v>0</v>
      </c>
      <c r="L5" s="11">
        <v>0</v>
      </c>
      <c r="M5" s="11">
        <v>0</v>
      </c>
      <c r="N5" s="11" t="s">
        <v>42</v>
      </c>
    </row>
    <row r="6" spans="1:14" ht="40.5" customHeight="1" x14ac:dyDescent="0.4">
      <c r="J6" s="11" t="s">
        <v>16</v>
      </c>
      <c r="K6" s="11">
        <v>0</v>
      </c>
      <c r="L6" s="11">
        <v>0</v>
      </c>
      <c r="M6" s="11">
        <v>0</v>
      </c>
      <c r="N6" s="11" t="s">
        <v>42</v>
      </c>
    </row>
    <row r="7" spans="1:14" ht="40.5" customHeight="1" x14ac:dyDescent="0.4">
      <c r="J7" s="11" t="s">
        <v>17</v>
      </c>
      <c r="K7" s="11">
        <v>0</v>
      </c>
      <c r="L7" s="11">
        <v>0</v>
      </c>
      <c r="M7" s="11">
        <v>0</v>
      </c>
      <c r="N7" s="11" t="s">
        <v>42</v>
      </c>
    </row>
    <row r="8" spans="1:14" ht="40.5" customHeight="1" x14ac:dyDescent="0.4">
      <c r="J8" s="11" t="s">
        <v>18</v>
      </c>
      <c r="K8" s="11">
        <v>0</v>
      </c>
      <c r="L8" s="11">
        <v>0</v>
      </c>
      <c r="M8" s="11">
        <v>0</v>
      </c>
      <c r="N8" s="11" t="s">
        <v>42</v>
      </c>
    </row>
  </sheetData>
  <pageMargins left="0.7" right="0.7" top="0.75" bottom="0.75" header="0.3" footer="0.3"/>
  <pageSetup scale="79" fitToHeight="0" orientation="landscape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960C145052E104F88C06D65FE8B0052" ma:contentTypeVersion="4" ma:contentTypeDescription="Create a new document." ma:contentTypeScope="" ma:versionID="3312bead694d9ecfe9f745d45d61e61c">
  <xsd:schema xmlns:xsd="http://www.w3.org/2001/XMLSchema" xmlns:xs="http://www.w3.org/2001/XMLSchema" xmlns:p="http://schemas.microsoft.com/office/2006/metadata/properties" xmlns:ns3="9a4e2597-d067-4c78-aed5-1b5956ef2de7" targetNamespace="http://schemas.microsoft.com/office/2006/metadata/properties" ma:root="true" ma:fieldsID="1a9c15872cdd0d1bed4dba2bee49bf0a" ns3:_="">
    <xsd:import namespace="9a4e2597-d067-4c78-aed5-1b5956ef2de7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a4e2597-d067-4c78-aed5-1b5956ef2de7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6729DA07-17E8-4EDC-9A6A-00575839CF0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a4e2597-d067-4c78-aed5-1b5956ef2de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2941E70-0B65-44AF-AEFF-7D177B4DFC8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07528E5-065F-49BA-9D27-698FE8F1B76C}">
  <ds:schemaRefs>
    <ds:schemaRef ds:uri="http://purl.org/dc/terms/"/>
    <ds:schemaRef ds:uri="http://www.w3.org/XML/1998/namespace"/>
    <ds:schemaRef ds:uri="http://schemas.microsoft.com/office/2006/documentManagement/types"/>
    <ds:schemaRef ds:uri="http://purl.org/dc/dcmitype/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9a4e2597-d067-4c78-aed5-1b5956ef2de7"/>
    <ds:schemaRef ds:uri="http://schemas.microsoft.com/office/2006/metadata/properties"/>
  </ds:schemaRefs>
</ds:datastoreItem>
</file>

<file path=docMetadata/LabelInfo.xml><?xml version="1.0" encoding="utf-8"?>
<clbl:labelList xmlns:clbl="http://schemas.microsoft.com/office/2020/mipLabelMetadata">
  <clbl:label id="{723a5a87-f39a-4a22-9247-3fc240c01396}" enabled="0" method="" siteId="{723a5a87-f39a-4a22-9247-3fc240c01396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Sheet2</vt:lpstr>
      <vt:lpstr>ActivityLog</vt:lpstr>
      <vt:lpstr>Schedule</vt:lpstr>
      <vt:lpstr>Schedule!Print_Area</vt:lpstr>
      <vt:lpstr>Schedule!Print_Titles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Qiushi Huang</dc:creator>
  <cp:lastModifiedBy>Yana Feng</cp:lastModifiedBy>
  <cp:lastPrinted>2025-11-15T00:25:44Z</cp:lastPrinted>
  <dcterms:created xsi:type="dcterms:W3CDTF">2025-10-30T01:47:07Z</dcterms:created>
  <dcterms:modified xsi:type="dcterms:W3CDTF">2025-11-16T19:34:45Z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0x010100D960C145052E104F88C06D65FE8B0052</vt:lpwstr>
  </property>
</Properties>
</file>